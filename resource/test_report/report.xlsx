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1" autoFilterDateGrouping="1"/>
  </bookViews>
  <sheets>
    <sheet name="Sheet1" sheetId="1" state="visible" r:id="rId1"/>
    <sheet name="2026041602hbase0" sheetId="2" state="visible" r:id="rId2"/>
    <sheet name="2026041610hbase0" sheetId="3" state="visible" r:id="rId3"/>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134"/>
      <color rgb="FF800080"/>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9"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7">
    <xf numFmtId="0" fontId="0" fillId="0" borderId="0" applyAlignment="1" pivotButton="0" quotePrefix="0" xfId="0">
      <alignment vertical="center"/>
    </xf>
    <xf numFmtId="0" fontId="1" fillId="0" borderId="0" pivotButton="0" quotePrefix="0" xfId="0"/>
    <xf numFmtId="0" fontId="2" fillId="0" borderId="0" pivotButton="0" quotePrefix="0" xfId="0"/>
    <xf numFmtId="0" fontId="0" fillId="0" borderId="0" pivotButton="0" quotePrefix="0" xfId="0"/>
    <xf numFmtId="0" fontId="3" fillId="2" borderId="0" applyAlignment="1" pivotButton="0" quotePrefix="0" xfId="0">
      <alignment vertical="center"/>
    </xf>
    <xf numFmtId="0" fontId="4"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horizontal="center" vertical="center"/>
    </xf>
    <xf numFmtId="49" fontId="0" fillId="0" borderId="0" pivotButton="0" quotePrefix="0" xfId="0"/>
    <xf numFmtId="0" fontId="7" fillId="0" borderId="0" applyAlignment="1" pivotButton="0" quotePrefix="0" xfId="0">
      <alignment vertical="center" wrapText="1"/>
    </xf>
    <xf numFmtId="0" fontId="0" fillId="0" borderId="0" applyAlignment="1" pivotButton="0" quotePrefix="0" xfId="0">
      <alignment horizontal="left" vertical="center" wrapText="1"/>
    </xf>
    <xf numFmtId="0" fontId="8" fillId="0" borderId="0" applyAlignment="1" pivotButton="0" quotePrefix="0" xfId="0">
      <alignment vertical="center"/>
    </xf>
    <xf numFmtId="0" fontId="0" fillId="0" borderId="0" applyAlignment="1" pivotButton="0" quotePrefix="0" xfId="0">
      <alignment wrapText="1"/>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4"/>
  <sheetViews>
    <sheetView topLeftCell="A50" workbookViewId="0">
      <selection activeCell="BF2" sqref="BF2"/>
    </sheetView>
  </sheetViews>
  <sheetFormatPr baseColWidth="8" defaultColWidth="9" defaultRowHeight="13.5"/>
  <cols>
    <col width="29.125" customWidth="1" style="3" min="1" max="1"/>
    <col width="49.875" customWidth="1" style="3" min="2" max="2"/>
    <col width="29.125" customWidth="1" style="3" min="3" max="3"/>
    <col width="24.875" customWidth="1" style="3" min="5" max="5"/>
    <col width="26.125" customWidth="1" style="3" min="6" max="6"/>
    <col width="41.625" customWidth="1" style="3"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4" t="inlineStr">
        <is>
          <t>科学计数法</t>
        </is>
      </c>
    </row>
    <row r="4">
      <c r="B4" s="5" t="inlineStr">
        <is>
          <t>索引类型、复合索引区分不明确</t>
        </is>
      </c>
      <c r="E4" s="0" t="n">
        <v>2</v>
      </c>
      <c r="F4" s="4" t="inlineStr">
        <is>
          <t>二进制-string</t>
        </is>
      </c>
    </row>
    <row r="5">
      <c r="A5" s="0" t="inlineStr">
        <is>
          <t>mysql</t>
        </is>
      </c>
      <c r="B5" s="5" t="inlineStr">
        <is>
          <t>所有约束、索引貌似没有获取到，断点调试没反应</t>
        </is>
      </c>
      <c r="E5" s="0" t="n">
        <v>3</v>
      </c>
      <c r="F5" s="4" t="inlineStr">
        <is>
          <t>时间戳-string</t>
        </is>
      </c>
    </row>
    <row r="6">
      <c r="E6" s="0" t="n">
        <v>4</v>
      </c>
      <c r="F6" s="4" t="inlineStr">
        <is>
          <t>布尔类型-true、false字符串</t>
        </is>
      </c>
    </row>
    <row r="7">
      <c r="A7" s="0" t="inlineStr">
        <is>
          <t>ob_mysql</t>
        </is>
      </c>
    </row>
    <row r="8">
      <c r="A8" s="0" t="inlineStr">
        <is>
          <t>ob_oracle</t>
        </is>
      </c>
    </row>
    <row r="9">
      <c r="A9" s="6"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7" t="inlineStr">
        <is>
          <t>unique列获取有误</t>
        </is>
      </c>
      <c r="E20" s="8" t="inlineStr">
        <is>
          <t>mysql</t>
        </is>
      </c>
      <c r="F20" s="8" t="inlineStr">
        <is>
          <t>oracle</t>
        </is>
      </c>
      <c r="G20" s="8" t="inlineStr">
        <is>
          <t>pg</t>
        </is>
      </c>
      <c r="H20" s="8" t="inlineStr">
        <is>
          <t>opengauss</t>
        </is>
      </c>
      <c r="I20" s="8" t="inlineStr">
        <is>
          <t>dws</t>
        </is>
      </c>
      <c r="J20" s="9"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0" t="inlineStr">
        <is>
          <t>sql-oracle</t>
        </is>
      </c>
      <c r="C28" s="10"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1"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1"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2"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3">
      <c r="B50" s="13"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4"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3">
      <c r="A61" s="0" t="inlineStr">
        <is>
          <t>oracle-&gt;qianbase xtp</t>
        </is>
      </c>
      <c r="C61" s="15"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row>
    <row r="70">
      <c r="A70" s="0" t="inlineStr">
        <is>
          <t>dm-&gt;goldendb</t>
        </is>
      </c>
    </row>
    <row r="71">
      <c r="A71" s="0" t="inlineStr">
        <is>
          <t>dm-&gt;oracle</t>
        </is>
      </c>
    </row>
    <row r="72">
      <c r="A72" s="0" t="inlineStr">
        <is>
          <t>dm-&gt;postgresgl</t>
        </is>
      </c>
    </row>
    <row r="73">
      <c r="A73" s="0" t="inlineStr">
        <is>
          <t>dm-&gt;tdsgl postgresql</t>
        </is>
      </c>
    </row>
    <row r="74">
      <c r="A74" s="0" t="inlineStr">
        <is>
          <t>dm-vdm</t>
        </is>
      </c>
    </row>
    <row r="75">
      <c r="A75" s="0" t="inlineStr">
        <is>
          <t>dm-&gt;opengauss</t>
        </is>
      </c>
    </row>
    <row r="76">
      <c r="A76" s="0" t="inlineStr">
        <is>
          <t>dm-&gt;oceanbase oracle</t>
        </is>
      </c>
    </row>
    <row r="78">
      <c r="A78" s="0" t="inlineStr">
        <is>
          <t>db2-&gt;db2</t>
        </is>
      </c>
    </row>
    <row r="79">
      <c r="A79" s="0" t="inlineStr">
        <is>
          <t>db2-&gt;mysql</t>
        </is>
      </c>
    </row>
    <row r="80">
      <c r="A80" s="0" t="inlineStr">
        <is>
          <t>db2-&gt;oracle</t>
        </is>
      </c>
    </row>
    <row r="81">
      <c r="A81" s="0" t="inlineStr">
        <is>
          <t>db2-&gt;postgresgl</t>
        </is>
      </c>
    </row>
    <row r="82">
      <c r="A82" s="0" t="inlineStr">
        <is>
          <t>db2-&gt;dm</t>
        </is>
      </c>
    </row>
    <row r="83">
      <c r="A83" s="0" t="inlineStr">
        <is>
          <t>db2-&gt;opengauss</t>
        </is>
      </c>
    </row>
    <row r="84">
      <c r="A84" s="0" t="inlineStr">
        <is>
          <t>db2-&gt;oceanbase oracle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Z88"/>
  <sheetViews>
    <sheetView tabSelected="1" workbookViewId="0">
      <selection activeCell="J4" sqref="J4"/>
    </sheetView>
  </sheetViews>
  <sheetFormatPr baseColWidth="8" defaultColWidth="9" defaultRowHeight="13.5"/>
  <cols>
    <col width="24" customWidth="1" style="3" min="9" max="9"/>
    <col width="29.25" customWidth="1" style="3" min="10" max="10"/>
    <col width="24.25" customWidth="1" style="3" min="23" max="23"/>
  </cols>
  <sheetData>
    <row r="1">
      <c r="A1" s="0" t="inlineStr">
        <is>
          <t>sqlserver -- 2026041602hbase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HYPERLINK("#2026041602hbase0!W9","info_pk_tab_001")</f>
        <v/>
      </c>
      <c r="Z2" s="1">
        <f>HYPERLINK("#2026041602hbase0!W84","info_char_dml_single_pk_urp")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2">
        <f>HYPERLINK("#2026041602hbase0!Y2","NO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tab_nopk1</t>
        </is>
      </c>
      <c r="K39" s="0" t="inlineStr">
        <is>
          <t>[0;34m tab_nopk1 [0m源备字段数相同，源端字段：2 	备端字段2</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id列源备映射错误，源端为int None位	期望更改为text	实际备端为int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name列源备映射错误，源端为char 60位	期望更改为text	实际备端为char 60位</t>
        </is>
      </c>
    </row>
    <row r="42">
      <c r="A42" s="0" t="inlineStr">
        <is>
          <t>info_comment_tab_pk_002</t>
        </is>
      </c>
      <c r="K42" s="0" t="inlineStr">
        <is>
          <t>[0;34m info_comment_tab_pk_002 [0m源备字段数相同，源端字段：16 	备端字段16</t>
        </is>
      </c>
      <c r="W42" s="0" t="inlineStr">
        <is>
          <t>YES 源备无差异</t>
        </is>
      </c>
      <c r="X42" s="0">
        <f>A42</f>
        <v/>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jioyrq列源备映射错误，源端为char 8位	期望更改为text	实际备端为char 8位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jgjyls列源备映射错误，源端为char 14位	期望更改为text	实际备端为char 14位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jczuho列源备映射错误，源端为int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qjulsh列源备映射错误，源端为char 26位	期望更改为text	实际备端为char 26位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jiaoym列源备映射错误，源端为char 4位	期望更改为text	实际备端为char 4位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yxjlts列源备映射错误，源端为int None位	期望更改为text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sjchuo列源备映射错误，源端为char 17位	期望更改为text	实际备端为char 17位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jiluzt列源备映射错误，源端为char 1位	期望更改为text	实际备端为char 1位</t>
        </is>
      </c>
    </row>
    <row r="51">
      <c r="B51" s="0" t="inlineStr">
        <is>
          <t>NULL</t>
        </is>
      </c>
      <c r="C51" s="0" t="inlineStr">
        <is>
          <t>YES! 0</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record列源备映射错误，源端为int None位	期望更改为text	实际备端为int None位</t>
        </is>
      </c>
    </row>
    <row r="52">
      <c r="B52" s="0" t="inlineStr">
        <is>
          <t>NULL</t>
        </is>
      </c>
      <c r="C52" s="0" t="inlineStr">
        <is>
          <t>NULL</t>
        </is>
      </c>
      <c r="D52" s="0" t="inlineStr">
        <is>
          <t>YES! UQ__info_com__BB62C7CBA541DC9C</t>
        </is>
      </c>
      <c r="E52" s="0" t="inlineStr">
        <is>
          <t>YES! hxkbmc, sxjsri</t>
        </is>
      </c>
      <c r="F52" s="0" t="inlineStr">
        <is>
          <t>NULL</t>
        </is>
      </c>
      <c r="G52" s="0" t="inlineStr">
        <is>
          <t>NULL</t>
        </is>
      </c>
      <c r="H52" s="0" t="inlineStr">
        <is>
          <t>NULL</t>
        </is>
      </c>
      <c r="I52" s="0" t="inlineStr">
        <is>
          <t>YES!UQ__info_com__BB62C7CBA541DC9C</t>
        </is>
      </c>
      <c r="J52" s="0" t="inlineStr">
        <is>
          <t>YES! 索引类型正确，源nonclustered, unique, unique key备nonclustered, unique, unique key</t>
        </is>
      </c>
      <c r="K52" s="0" t="inlineStr">
        <is>
          <t xml:space="preserve"> NO!  	 hxkbmc列源备映射错误，源端为char 30位	期望更改为text	实际备端为char 30位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sxjsri列源备映射错误，源端为char 8位	期望更改为text	实际备端为char 8位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fjxx01列源备映射错误，源端为char 30位	期望更改为text	实际备端为char 30位</t>
        </is>
      </c>
    </row>
    <row r="55">
      <c r="B55" s="0" t="inlineStr">
        <is>
          <t>NULL</t>
        </is>
      </c>
      <c r="C55" s="0" t="inlineStr">
        <is>
          <t>YES! 0</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byint1列源备映射错误，源端为int None位	期望更改为text	实际备端为int None位</t>
        </is>
      </c>
    </row>
    <row r="56">
      <c r="B56" s="0" t="inlineStr">
        <is>
          <t>NULL</t>
        </is>
      </c>
      <c r="C56" s="0" t="inlineStr">
        <is>
          <t>YES! 0</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byint2列源备映射错误，源端为int None位	期望更改为text	实际备端为int None位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bystr1列源备映射错误，源端为char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bystr2列源备映射错误，源端为char 20位	期望更改为text	实际备端为char 20位</t>
        </is>
      </c>
    </row>
    <row r="59">
      <c r="K59" s="0" t="inlineStr">
        <is>
          <t>~ 空表</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
        <f>HYPERLINK("#2026041602hbase0!Z2","NO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39:A41"/>
    <mergeCell ref="A84:A88"/>
    <mergeCell ref="A9:A38"/>
    <mergeCell ref="A3:A8"/>
    <mergeCell ref="A42:A59"/>
    <mergeCell ref="A73:A83"/>
    <mergeCell ref="A60:A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9"/>
  <sheetViews>
    <sheetView workbookViewId="0">
      <selection activeCell="A1" sqref="A1"/>
    </sheetView>
  </sheetViews>
  <sheetFormatPr baseColWidth="8" defaultRowHeight="15"/>
  <sheetData>
    <row r="1">
      <c r="A1" t="inlineStr">
        <is>
          <t>sqlserver -- 2026041610hbase</t>
        </is>
      </c>
      <c r="E1" t="inlineStr">
        <is>
          <t>源端共计 7个表，备端共计 7个表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6">
        <f>HYPERLINK("#2026041610hbase0!W9","info_pk_tab_001")</f>
        <v/>
      </c>
      <c r="Z2" s="16">
        <f>HYPERLINK("#2026041610hbase0!W84","info_char_dml_single_pk_urp")</f>
        <v/>
      </c>
    </row>
    <row r="3">
      <c r="A3" t="inlineStr">
        <is>
          <t>info_CHARr_dml_single_pk_irp</t>
        </is>
      </c>
      <c r="K3" t="inlineStr">
        <is>
          <t>[0;34m info_CHARr_dml_single_pk_irp [0m源备字段数相同，源端字段：4 	备端字段4</t>
        </is>
      </c>
      <c r="W3" t="inlineStr">
        <is>
          <t>YES 源备无差异</t>
        </is>
      </c>
      <c r="X3">
        <f>A3</f>
        <v/>
      </c>
      <c r="Y3" t="inlineStr">
        <is>
          <t>0行 4列，源：True 备：1</t>
        </is>
      </c>
      <c r="Z3"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t="inlineStr">
        <is>
          <t>YES</t>
        </is>
      </c>
      <c r="C4" t="inlineStr">
        <is>
          <t>NULL</t>
        </is>
      </c>
      <c r="D4" t="inlineStr">
        <is>
          <t>NULL</t>
        </is>
      </c>
      <c r="E4" t="inlineStr">
        <is>
          <t>NULL</t>
        </is>
      </c>
      <c r="F4" t="inlineStr">
        <is>
          <t>NULL</t>
        </is>
      </c>
      <c r="G4" t="inlineStr">
        <is>
          <t>NULL</t>
        </is>
      </c>
      <c r="H4" t="inlineStr">
        <is>
          <t>NULL</t>
        </is>
      </c>
      <c r="I4" t="inlineStr">
        <is>
          <t>YES!PK__info_CHA__3213E83F58450C91</t>
        </is>
      </c>
      <c r="J4" t="inlineStr">
        <is>
          <t>YES! 主键相关索引</t>
        </is>
      </c>
      <c r="K4" t="inlineStr">
        <is>
          <t xml:space="preserve"> NO!  	 id列源备映射错误，源端为int None位	期望更改为text	实际备端为int None位</t>
        </is>
      </c>
      <c r="Y4" t="inlineStr">
        <is>
          <t>0行 9列，源：123.456 备：123.4560000000000</t>
        </is>
      </c>
      <c r="Z4"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c_CHAR列源备映射错误，源端为char 1位	期望更改为text	实际备端为char 1位</t>
        </is>
      </c>
      <c r="Y5" t="inlineStr">
        <is>
          <t>0行 10列，源：78.9000015258789 备：78.900002</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 xml:space="preserve"> NO!  	 c_char20列源备映射错误，源端为char 20位	期望更改为text	实际备端为char 20位</t>
        </is>
      </c>
      <c r="Y6" t="inlineStr">
        <is>
          <t>0行 17列，源：b'\x124Vx\x00\x00\x00\x00' 备：1234567800000000</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 xml:space="preserve"> NO!  	 c_char8000列源备映射错误，源端为char 800位	期望更改为text	实际备端为char 800位</t>
        </is>
      </c>
      <c r="Y7" t="inlineStr">
        <is>
          <t>0行 18列，源：b'\x124V' 备：123456</t>
        </is>
      </c>
    </row>
    <row r="8">
      <c r="K8" t="inlineStr">
        <is>
          <t>~ 空表</t>
        </is>
      </c>
      <c r="Y8" t="inlineStr">
        <is>
          <t>0行 19列，源：b'\x124' 备：1234</t>
        </is>
      </c>
    </row>
    <row r="9">
      <c r="A9" t="inlineStr">
        <is>
          <t>info_pk_tab_001</t>
        </is>
      </c>
      <c r="K9" t="inlineStr">
        <is>
          <t>[0;34m info_pk_tab_001 [0m源备字段数相同，源端字段：29 	备端字段29</t>
        </is>
      </c>
      <c r="W9" s="16">
        <f>HYPERLINK("#2026041610hbase0!Y2","NO 源备存在差异，共8个")</f>
        <v/>
      </c>
      <c r="X9">
        <f>A9</f>
        <v/>
      </c>
      <c r="Y9" t="inlineStr">
        <is>
          <t>0行 28列，源：timestamp不参与比较 备：000000000000F231</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id列源备映射错误，源端为int None位	期望更改为text	实际备端为int None位</t>
        </is>
      </c>
      <c r="Y10" t="inlineStr">
        <is>
          <t>0行 28列，源：timestamp不参与比较 备：000000000000F231</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col_bigint列源备映射错误，源端为bigint None位	期望更改为text	实际备端为bigint None位</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col_smallint列源备映射错误，源端为smallint None位	期望更改为text	实际备端为smallint None位</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 xml:space="preserve"> NO!  	 col_tinyint列源备映射错误，源端为tinyint None位	期望更改为text	实际备端为tinyint None位</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col_bit列源备映射错误，源端为bit None位	期望更改为text	实际备端为bit None位</t>
        </is>
      </c>
    </row>
    <row r="15">
      <c r="B15" t="inlineStr">
        <is>
          <t>NULL</t>
        </is>
      </c>
      <c r="C15" t="inlineStr">
        <is>
          <t>NULL</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col_decimal列源备映射错误，源端为decimal None位	期望更改为text	实际备端为decimal None位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col_numeric列源备映射错误，源端为numeric None位	期望更改为text	实际备端为numeric None位</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 xml:space="preserve"> NO!  	 col_money列源备映射错误，源端为money None位	期望更改为text	实际备端为money None位</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 xml:space="preserve"> NO!  	 col_smallmoney列源备映射错误，源端为smallmoney None位	期望更改为text	实际备端为smallmoney None位</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 xml:space="preserve"> NO!  	 col_float列源备映射错误，源端为float None位	期望更改为text	实际备端为float None位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col_real列源备映射错误，源端为real None位	期望更改为text	实际备端为real None位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col_char列源备映射错误，源端为char 10位	期望更改为text	实际备端为char 10位</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col_varchar列源备映射错误，源端为varchar 50位	期望更改为text	实际备端为varchar 50位</t>
        </is>
      </c>
    </row>
    <row r="23">
      <c r="B23" t="inlineStr">
        <is>
          <t>NULL</t>
        </is>
      </c>
      <c r="C23" t="inlineStr">
        <is>
          <t>NULL</t>
        </is>
      </c>
      <c r="D23" t="inlineStr">
        <is>
          <t>NULL</t>
        </is>
      </c>
      <c r="E23" t="inlineStr">
        <is>
          <t>NULL</t>
        </is>
      </c>
      <c r="F23" t="inlineStr">
        <is>
          <t>NULL</t>
        </is>
      </c>
      <c r="G23" t="inlineStr">
        <is>
          <t>NULL</t>
        </is>
      </c>
      <c r="H23" t="inlineStr">
        <is>
          <t>NULL</t>
        </is>
      </c>
      <c r="I23" t="inlineStr">
        <is>
          <t>NULL</t>
        </is>
      </c>
      <c r="J23" t="inlineStr">
        <is>
          <t>NULL</t>
        </is>
      </c>
      <c r="K23" t="inlineStr">
        <is>
          <t>YES! 	 col_text列源备映射正确，源端为text 2147483647位	期望更改为text	实际备端为text 2147483647位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 xml:space="preserve"> NO!  	 col_nchar列源备映射错误，源端为nchar 20位	期望更改为text	实际备端为nchar 20位</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 xml:space="preserve"> NO!  	 col_nvarchar列源备映射错误，源端为nvarchar 100位	期望更改为text	实际备端为nvarchar 100位</t>
        </is>
      </c>
    </row>
    <row r="26">
      <c r="B26" t="inlineStr">
        <is>
          <t>NULL</t>
        </is>
      </c>
      <c r="C26" t="inlineStr">
        <is>
          <t>NULL</t>
        </is>
      </c>
      <c r="D26" t="inlineStr">
        <is>
          <t>NULL</t>
        </is>
      </c>
      <c r="E26" t="inlineStr">
        <is>
          <t>NULL</t>
        </is>
      </c>
      <c r="F26" t="inlineStr">
        <is>
          <t>NULL</t>
        </is>
      </c>
      <c r="G26" t="inlineStr">
        <is>
          <t>NULL</t>
        </is>
      </c>
      <c r="H26" t="inlineStr">
        <is>
          <t>NULL</t>
        </is>
      </c>
      <c r="I26" t="inlineStr">
        <is>
          <t>NULL</t>
        </is>
      </c>
      <c r="J26" t="inlineStr">
        <is>
          <t>NULL</t>
        </is>
      </c>
      <c r="K26" t="inlineStr">
        <is>
          <t xml:space="preserve"> NO!  	 col_ntext列源备映射错误，源端为ntext 2147483646位	期望更改为text	实际备端为ntext 2147483646位</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 xml:space="preserve"> NO!  	 col_binary列源备映射错误，源端为binary 8位	期望更改为text	实际备端为binary 8位</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 xml:space="preserve"> NO!  	 col_varbinary列源备映射错误，源端为varbinary 50位	期望更改为text	实际备端为varbinary 50位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col_image列源备映射错误，源端为image 2147483647位	期望更改为text	实际备端为image 2147483647位</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 xml:space="preserve"> NO!  	 col_date列源备映射错误，源端为date None位	期望更改为text	实际备端为date None位</t>
        </is>
      </c>
    </row>
    <row r="31">
      <c r="B31" t="inlineStr">
        <is>
          <t>NULL</t>
        </is>
      </c>
      <c r="C31" t="inlineStr">
        <is>
          <t>NULL</t>
        </is>
      </c>
      <c r="D31" t="inlineStr">
        <is>
          <t>NULL</t>
        </is>
      </c>
      <c r="E31" t="inlineStr">
        <is>
          <t>NULL</t>
        </is>
      </c>
      <c r="F31" t="inlineStr">
        <is>
          <t>NULL</t>
        </is>
      </c>
      <c r="G31" t="inlineStr">
        <is>
          <t>NULL</t>
        </is>
      </c>
      <c r="H31" t="inlineStr">
        <is>
          <t>NULL</t>
        </is>
      </c>
      <c r="I31" t="inlineStr">
        <is>
          <t>NULL</t>
        </is>
      </c>
      <c r="J31" t="inlineStr">
        <is>
          <t>NULL</t>
        </is>
      </c>
      <c r="K31" t="inlineStr">
        <is>
          <t xml:space="preserve"> NO!  	 col_time列源备映射错误，源端为time None位	期望更改为text	实际备端为time None位</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 xml:space="preserve"> NO!  	 col_datetime列源备映射错误，源端为datetime None位	期望更改为text	实际备端为datetime None位</t>
        </is>
      </c>
    </row>
    <row r="33">
      <c r="B33" t="inlineStr">
        <is>
          <t>NULL</t>
        </is>
      </c>
      <c r="C33" t="inlineStr">
        <is>
          <t>NULL</t>
        </is>
      </c>
      <c r="D33" t="inlineStr">
        <is>
          <t>NULL</t>
        </is>
      </c>
      <c r="E33" t="inlineStr">
        <is>
          <t>NULL</t>
        </is>
      </c>
      <c r="F33" t="inlineStr">
        <is>
          <t>NULL</t>
        </is>
      </c>
      <c r="G33" t="inlineStr">
        <is>
          <t>NULL</t>
        </is>
      </c>
      <c r="H33" t="inlineStr">
        <is>
          <t>NULL</t>
        </is>
      </c>
      <c r="I33" t="inlineStr">
        <is>
          <t>NULL</t>
        </is>
      </c>
      <c r="J33" t="inlineStr">
        <is>
          <t>NULL</t>
        </is>
      </c>
      <c r="K33" t="inlineStr">
        <is>
          <t xml:space="preserve"> NO!  	 col_datetime2列源备映射错误，源端为datetime2 None位	期望更改为text	实际备端为datetime2 None位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 xml:space="preserve"> NO!  	 col_smalldatetime列源备映射错误，源端为smalldatetime None位	期望更改为text	实际备端为smalldatetime None位</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 xml:space="preserve"> NO!  	 col_datetimeoffset列源备映射错误，源端为datetimeoffset None位	期望更改为text	实际备端为datetimeoffset None位</t>
        </is>
      </c>
    </row>
    <row r="36">
      <c r="B36" t="inlineStr">
        <is>
          <t>NULL</t>
        </is>
      </c>
      <c r="C36" t="inlineStr">
        <is>
          <t>NULL</t>
        </is>
      </c>
      <c r="D36" t="inlineStr">
        <is>
          <t>NULL</t>
        </is>
      </c>
      <c r="E36" t="inlineStr">
        <is>
          <t>NULL</t>
        </is>
      </c>
      <c r="F36" t="inlineStr">
        <is>
          <t>NULL</t>
        </is>
      </c>
      <c r="G36" t="inlineStr">
        <is>
          <t>NULL</t>
        </is>
      </c>
      <c r="H36" t="inlineStr">
        <is>
          <t>NULL</t>
        </is>
      </c>
      <c r="I36" t="inlineStr">
        <is>
          <t>NULL</t>
        </is>
      </c>
      <c r="J36" t="inlineStr">
        <is>
          <t>NULL</t>
        </is>
      </c>
      <c r="K36" t="inlineStr">
        <is>
          <t xml:space="preserve"> NO!  	 col_uniqueidentifier列源备映射错误，源端为uniqueidentifier None位	期望更改为text	实际备端为uniqueidentifier None位</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col_xml列源备映射错误，源端为xml -1位	期望更改为text	实际备端为xml -1位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 xml:space="preserve"> NO!  	 col_rowversion列源备映射错误，源端为timestamp None位	期望更改为text	实际备端为timestamp None位</t>
        </is>
      </c>
    </row>
    <row r="39">
      <c r="A39" t="inlineStr">
        <is>
          <t>info_comment_tab_pk_002</t>
        </is>
      </c>
      <c r="K39" t="inlineStr">
        <is>
          <t>[0;34m info_comment_tab_pk_002 [0m源备字段数相同，源端字段：16 	备端字段16</t>
        </is>
      </c>
      <c r="W39" t="inlineStr">
        <is>
          <t>YES 源备无差异</t>
        </is>
      </c>
      <c r="X39">
        <f>A39</f>
        <v/>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 xml:space="preserve"> NO!  	 jioyrq列源备映射错误，源端为char 8位	期望更改为text	实际备端为char 8位</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 xml:space="preserve"> NO!  	 jgjyls列源备映射错误，源端为char 14位	期望更改为text	实际备端为char 14位</t>
        </is>
      </c>
    </row>
    <row r="42">
      <c r="B42" t="inlineStr">
        <is>
          <t>NULL</t>
        </is>
      </c>
      <c r="C42" t="inlineStr">
        <is>
          <t>YES! 0</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jczuho列源备映射错误，源端为int None位	期望更改为text	实际备端为int None位</t>
        </is>
      </c>
    </row>
    <row r="43">
      <c r="B43" t="inlineStr">
        <is>
          <t>NULL</t>
        </is>
      </c>
      <c r="C43" t="inlineStr">
        <is>
          <t>NULL</t>
        </is>
      </c>
      <c r="D43" t="inlineStr">
        <is>
          <t>NULL</t>
        </is>
      </c>
      <c r="E43" t="inlineStr">
        <is>
          <t>NULL</t>
        </is>
      </c>
      <c r="F43" t="inlineStr">
        <is>
          <t>NULL</t>
        </is>
      </c>
      <c r="G43" t="inlineStr">
        <is>
          <t>NULL</t>
        </is>
      </c>
      <c r="H43" t="inlineStr">
        <is>
          <t>NULL</t>
        </is>
      </c>
      <c r="I43" t="inlineStr">
        <is>
          <t>NULL</t>
        </is>
      </c>
      <c r="J43" t="inlineStr">
        <is>
          <t>NULL</t>
        </is>
      </c>
      <c r="K43" t="inlineStr">
        <is>
          <t xml:space="preserve"> NO!  	 qjulsh列源备映射错误，源端为char 26位	期望更改为text	实际备端为char 26位</t>
        </is>
      </c>
    </row>
    <row r="44">
      <c r="B44" t="inlineStr">
        <is>
          <t>NULL</t>
        </is>
      </c>
      <c r="C44" t="inlineStr">
        <is>
          <t>NULL</t>
        </is>
      </c>
      <c r="D44" t="inlineStr">
        <is>
          <t>NULL</t>
        </is>
      </c>
      <c r="E44" t="inlineStr">
        <is>
          <t>NULL</t>
        </is>
      </c>
      <c r="F44" t="inlineStr">
        <is>
          <t>NULL</t>
        </is>
      </c>
      <c r="G44" t="inlineStr">
        <is>
          <t>NULL</t>
        </is>
      </c>
      <c r="H44" t="inlineStr">
        <is>
          <t>NULL</t>
        </is>
      </c>
      <c r="I44" t="inlineStr">
        <is>
          <t>NULL</t>
        </is>
      </c>
      <c r="J44" t="inlineStr">
        <is>
          <t>NULL</t>
        </is>
      </c>
      <c r="K44" t="inlineStr">
        <is>
          <t xml:space="preserve"> NO!  	 jiaoym列源备映射错误，源端为char 4位	期望更改为text	实际备端为char 4位</t>
        </is>
      </c>
    </row>
    <row r="45">
      <c r="B45" t="inlineStr">
        <is>
          <t>NULL</t>
        </is>
      </c>
      <c r="C45" t="inlineStr">
        <is>
          <t>YES! 0</t>
        </is>
      </c>
      <c r="D45" t="inlineStr">
        <is>
          <t>NULL</t>
        </is>
      </c>
      <c r="E45" t="inlineStr">
        <is>
          <t>NULL</t>
        </is>
      </c>
      <c r="F45" t="inlineStr">
        <is>
          <t>NULL</t>
        </is>
      </c>
      <c r="G45" t="inlineStr">
        <is>
          <t>NULL</t>
        </is>
      </c>
      <c r="H45" t="inlineStr">
        <is>
          <t>NULL</t>
        </is>
      </c>
      <c r="I45" t="inlineStr">
        <is>
          <t>NULL</t>
        </is>
      </c>
      <c r="J45" t="inlineStr">
        <is>
          <t>NULL</t>
        </is>
      </c>
      <c r="K45" t="inlineStr">
        <is>
          <t xml:space="preserve"> NO!  	 yxjlts列源备映射错误，源端为int None位	期望更改为text	实际备端为int None位</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sjchuo列源备映射错误，源端为char 17位	期望更改为text	实际备端为char 17位</t>
        </is>
      </c>
    </row>
    <row r="47">
      <c r="B47" t="inlineStr">
        <is>
          <t>NULL</t>
        </is>
      </c>
      <c r="C47" t="inlineStr">
        <is>
          <t>NULL</t>
        </is>
      </c>
      <c r="D47" t="inlineStr">
        <is>
          <t>NULL</t>
        </is>
      </c>
      <c r="E47" t="inlineStr">
        <is>
          <t>NULL</t>
        </is>
      </c>
      <c r="F47" t="inlineStr">
        <is>
          <t>NULL</t>
        </is>
      </c>
      <c r="G47" t="inlineStr">
        <is>
          <t>NULL</t>
        </is>
      </c>
      <c r="H47" t="inlineStr">
        <is>
          <t>NULL</t>
        </is>
      </c>
      <c r="I47" t="inlineStr">
        <is>
          <t>NULL</t>
        </is>
      </c>
      <c r="J47" t="inlineStr">
        <is>
          <t>NULL</t>
        </is>
      </c>
      <c r="K47" t="inlineStr">
        <is>
          <t xml:space="preserve"> NO!  	 jiluzt列源备映射错误，源端为char 1位	期望更改为text	实际备端为char 1位</t>
        </is>
      </c>
    </row>
    <row r="48">
      <c r="B48" t="inlineStr">
        <is>
          <t>NULL</t>
        </is>
      </c>
      <c r="C48" t="inlineStr">
        <is>
          <t>YES! 0</t>
        </is>
      </c>
      <c r="D48" t="inlineStr">
        <is>
          <t>NULL</t>
        </is>
      </c>
      <c r="E48" t="inlineStr">
        <is>
          <t>NULL</t>
        </is>
      </c>
      <c r="F48" t="inlineStr">
        <is>
          <t>NULL</t>
        </is>
      </c>
      <c r="G48" t="inlineStr">
        <is>
          <t>NULL</t>
        </is>
      </c>
      <c r="H48" t="inlineStr">
        <is>
          <t>NULL</t>
        </is>
      </c>
      <c r="I48" t="inlineStr">
        <is>
          <t>NULL</t>
        </is>
      </c>
      <c r="J48" t="inlineStr">
        <is>
          <t>NULL</t>
        </is>
      </c>
      <c r="K48" t="inlineStr">
        <is>
          <t xml:space="preserve"> NO!  	 record列源备映射错误，源端为int None位	期望更改为text	实际备端为int None位</t>
        </is>
      </c>
    </row>
    <row r="49">
      <c r="B49" t="inlineStr">
        <is>
          <t>NULL</t>
        </is>
      </c>
      <c r="C49" t="inlineStr">
        <is>
          <t>NULL</t>
        </is>
      </c>
      <c r="D49" t="inlineStr">
        <is>
          <t>YES! UQ__info_com__BB62C7CBA541DC9C</t>
        </is>
      </c>
      <c r="E49" t="inlineStr">
        <is>
          <t>YES! hxkbmc, sxjsri</t>
        </is>
      </c>
      <c r="F49" t="inlineStr">
        <is>
          <t>NULL</t>
        </is>
      </c>
      <c r="G49" t="inlineStr">
        <is>
          <t>NULL</t>
        </is>
      </c>
      <c r="H49" t="inlineStr">
        <is>
          <t>NULL</t>
        </is>
      </c>
      <c r="I49" t="inlineStr">
        <is>
          <t>YES!UQ__info_com__BB62C7CBA541DC9C</t>
        </is>
      </c>
      <c r="J49" t="inlineStr">
        <is>
          <t>YES! 索引类型正确，源nonclustered, unique, unique key备nonclustered, unique, unique key</t>
        </is>
      </c>
      <c r="K49" t="inlineStr">
        <is>
          <t xml:space="preserve"> NO!  	 hxkbmc列源备映射错误，源端为char 30位	期望更改为text	实际备端为char 30位</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sxjsri列源备映射错误，源端为char 8位	期望更改为text	实际备端为char 8位</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 xml:space="preserve"> NO!  	 fjxx01列源备映射错误，源端为char 30位	期望更改为text	实际备端为char 30位</t>
        </is>
      </c>
    </row>
    <row r="52">
      <c r="B52" t="inlineStr">
        <is>
          <t>NULL</t>
        </is>
      </c>
      <c r="C52" t="inlineStr">
        <is>
          <t>YES! 0</t>
        </is>
      </c>
      <c r="D52" t="inlineStr">
        <is>
          <t>NULL</t>
        </is>
      </c>
      <c r="E52" t="inlineStr">
        <is>
          <t>NULL</t>
        </is>
      </c>
      <c r="F52" t="inlineStr">
        <is>
          <t>NULL</t>
        </is>
      </c>
      <c r="G52" t="inlineStr">
        <is>
          <t>NULL</t>
        </is>
      </c>
      <c r="H52" t="inlineStr">
        <is>
          <t>NULL</t>
        </is>
      </c>
      <c r="I52" t="inlineStr">
        <is>
          <t>NULL</t>
        </is>
      </c>
      <c r="J52" t="inlineStr">
        <is>
          <t>NULL</t>
        </is>
      </c>
      <c r="K52" t="inlineStr">
        <is>
          <t xml:space="preserve"> NO!  	 byint1列源备映射错误，源端为int None位	期望更改为text	实际备端为int None位</t>
        </is>
      </c>
    </row>
    <row r="53">
      <c r="B53" t="inlineStr">
        <is>
          <t>NULL</t>
        </is>
      </c>
      <c r="C53" t="inlineStr">
        <is>
          <t>YES! 0</t>
        </is>
      </c>
      <c r="D53" t="inlineStr">
        <is>
          <t>NULL</t>
        </is>
      </c>
      <c r="E53" t="inlineStr">
        <is>
          <t>NULL</t>
        </is>
      </c>
      <c r="F53" t="inlineStr">
        <is>
          <t>NULL</t>
        </is>
      </c>
      <c r="G53" t="inlineStr">
        <is>
          <t>NULL</t>
        </is>
      </c>
      <c r="H53" t="inlineStr">
        <is>
          <t>NULL</t>
        </is>
      </c>
      <c r="I53" t="inlineStr">
        <is>
          <t>NULL</t>
        </is>
      </c>
      <c r="J53" t="inlineStr">
        <is>
          <t>NULL</t>
        </is>
      </c>
      <c r="K53" t="inlineStr">
        <is>
          <t xml:space="preserve"> NO!  	 byint2列源备映射错误，源端为int None位	期望更改为text	实际备端为int None位</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 xml:space="preserve"> NO!  	 bystr1列源备映射错误，源端为char 20位	期望更改为text	实际备端为char 20位</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 xml:space="preserve"> NO!  	 bystr2列源备映射错误，源端为char 20位	期望更改为text	实际备端为char 20位</t>
        </is>
      </c>
    </row>
    <row r="56">
      <c r="K56" t="inlineStr">
        <is>
          <t>~ 空表</t>
        </is>
      </c>
    </row>
    <row r="57">
      <c r="A57" t="inlineStr">
        <is>
          <t>tab_NOPK1</t>
        </is>
      </c>
      <c r="K57" t="inlineStr">
        <is>
          <t>[0;34m tab_NOPK1 [0m源备字段数相同，源端字段：2 	备端字段2</t>
        </is>
      </c>
      <c r="W57" t="inlineStr">
        <is>
          <t>YES 源备无差异</t>
        </is>
      </c>
      <c r="X57">
        <f>A57</f>
        <v/>
      </c>
    </row>
    <row r="58">
      <c r="B58" t="inlineStr">
        <is>
          <t>NULL</t>
        </is>
      </c>
      <c r="C58" t="inlineStr">
        <is>
          <t>NULL</t>
        </is>
      </c>
      <c r="D58" t="inlineStr">
        <is>
          <t>NULL</t>
        </is>
      </c>
      <c r="E58" t="inlineStr">
        <is>
          <t>NULL</t>
        </is>
      </c>
      <c r="F58" t="inlineStr">
        <is>
          <t>NULL</t>
        </is>
      </c>
      <c r="G58" t="inlineStr">
        <is>
          <t>NULL</t>
        </is>
      </c>
      <c r="H58" t="inlineStr">
        <is>
          <t>NULL</t>
        </is>
      </c>
      <c r="I58" t="inlineStr">
        <is>
          <t>NULL</t>
        </is>
      </c>
      <c r="J58" t="inlineStr">
        <is>
          <t>NULL</t>
        </is>
      </c>
      <c r="K58" t="inlineStr">
        <is>
          <t xml:space="preserve"> NO!  	 id列源备映射错误，源端为int None位	期望更改为text	实际备端为int None位</t>
        </is>
      </c>
    </row>
    <row r="59">
      <c r="B59" t="inlineStr">
        <is>
          <t>NULL</t>
        </is>
      </c>
      <c r="C59" t="inlineStr">
        <is>
          <t>NULL</t>
        </is>
      </c>
      <c r="D59" t="inlineStr">
        <is>
          <t>NULL</t>
        </is>
      </c>
      <c r="E59" t="inlineStr">
        <is>
          <t>NULL</t>
        </is>
      </c>
      <c r="F59" t="inlineStr">
        <is>
          <t>NULL</t>
        </is>
      </c>
      <c r="G59" t="inlineStr">
        <is>
          <t>NULL</t>
        </is>
      </c>
      <c r="H59" t="inlineStr">
        <is>
          <t>NULL</t>
        </is>
      </c>
      <c r="I59" t="inlineStr">
        <is>
          <t>NULL</t>
        </is>
      </c>
      <c r="J59" t="inlineStr">
        <is>
          <t>NULL</t>
        </is>
      </c>
      <c r="K59" t="inlineStr">
        <is>
          <t xml:space="preserve"> NO!  	 name列源备映射错误，源端为char 60位	期望更改为text	实际备端为char 60位</t>
        </is>
      </c>
    </row>
    <row r="60">
      <c r="A60" t="inlineStr">
        <is>
          <t>info_df_pk_tab_002</t>
        </is>
      </c>
      <c r="K60" t="inlineStr">
        <is>
          <t>[0;34m info_df_pk_tab_002 [0m源备字段数相同，源端字段：11 	备端字段11</t>
        </is>
      </c>
      <c r="W60" t="inlineStr">
        <is>
          <t>YES 源备无差异</t>
        </is>
      </c>
      <c r="X60">
        <f>A60</f>
        <v/>
      </c>
    </row>
    <row r="61">
      <c r="B61" t="inlineStr">
        <is>
          <t>YES</t>
        </is>
      </c>
      <c r="C61" t="inlineStr">
        <is>
          <t>NULL</t>
        </is>
      </c>
      <c r="D61" t="inlineStr">
        <is>
          <t>NULL</t>
        </is>
      </c>
      <c r="E61" t="inlineStr">
        <is>
          <t>NULL</t>
        </is>
      </c>
      <c r="F61" t="inlineStr">
        <is>
          <t>NULL</t>
        </is>
      </c>
      <c r="G61" t="inlineStr">
        <is>
          <t>NULL</t>
        </is>
      </c>
      <c r="H61" t="inlineStr">
        <is>
          <t>NULL</t>
        </is>
      </c>
      <c r="I61" t="inlineStr">
        <is>
          <t>YES!PK__info_df___3213E83F61C01E36</t>
        </is>
      </c>
      <c r="J61" t="inlineStr">
        <is>
          <t>YES! 主键相关索引</t>
        </is>
      </c>
      <c r="K61" t="inlineStr">
        <is>
          <t xml:space="preserve"> NO!  	 id列源备映射错误，源端为int None位	期望更改为text	实际备端为int None位</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 xml:space="preserve"> NO!  	 username列源备映射错误，源端为varchar 50位	期望更改为text	实际备端为varchar 50位</t>
        </is>
      </c>
    </row>
    <row r="63">
      <c r="B63" t="inlineStr">
        <is>
          <t>NULL</t>
        </is>
      </c>
      <c r="C63" t="inlineStr">
        <is>
          <t>YES! 1</t>
        </is>
      </c>
      <c r="D63" t="inlineStr">
        <is>
          <t>NULL</t>
        </is>
      </c>
      <c r="E63" t="inlineStr">
        <is>
          <t>NULL</t>
        </is>
      </c>
      <c r="F63" t="inlineStr">
        <is>
          <t>NULL</t>
        </is>
      </c>
      <c r="G63" t="inlineStr">
        <is>
          <t>NULL</t>
        </is>
      </c>
      <c r="H63" t="inlineStr">
        <is>
          <t>NULL</t>
        </is>
      </c>
      <c r="I63" t="inlineStr">
        <is>
          <t>NULL</t>
        </is>
      </c>
      <c r="J63" t="inlineStr">
        <is>
          <t>NULL</t>
        </is>
      </c>
      <c r="K63" t="inlineStr">
        <is>
          <t xml:space="preserve"> NO!  	 status列源备映射错误，源端为tinyint None位	期望更改为text	实际备端为tinyint None位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 xml:space="preserve"> NO!  	 created_at列源备映射错误，源端为datetime None位	期望更改为text	实际备端为datetime None位</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country列源备映射错误，源端为varchar 50位	期望更改为text	实际备端为varchar 50位</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 xml:space="preserve"> NO!  	 age列源备映射错误，源端为int None位	期望更改为text	实际备端为int None位</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 xml:space="preserve"> NO!  	 gender列源备映射错误，源端为char 1位	期望更改为text	实际备端为char 1位</t>
        </is>
      </c>
    </row>
    <row r="68">
      <c r="B68" t="inlineStr">
        <is>
          <t>NULL</t>
        </is>
      </c>
      <c r="C68" t="inlineStr">
        <is>
          <t>NULL</t>
        </is>
      </c>
      <c r="D68" t="inlineStr">
        <is>
          <t>NULL</t>
        </is>
      </c>
      <c r="E68" t="inlineStr">
        <is>
          <t>NULL</t>
        </is>
      </c>
      <c r="F68" t="inlineStr">
        <is>
          <t>NULL</t>
        </is>
      </c>
      <c r="G68" t="inlineStr">
        <is>
          <t>NULL</t>
        </is>
      </c>
      <c r="H68" t="inlineStr">
        <is>
          <t>NULL</t>
        </is>
      </c>
      <c r="I68" t="inlineStr">
        <is>
          <t>NULL</t>
        </is>
      </c>
      <c r="J68" t="inlineStr">
        <is>
          <t>NULL</t>
        </is>
      </c>
      <c r="K68" t="inlineStr">
        <is>
          <t xml:space="preserve"> NO!  	 score列源备映射错误，源端为int None位	期望更改为text	实际备端为int None位</t>
        </is>
      </c>
    </row>
    <row r="69">
      <c r="B69" t="inlineStr">
        <is>
          <t>NULL</t>
        </is>
      </c>
      <c r="C69" t="inlineStr">
        <is>
          <t>NULL</t>
        </is>
      </c>
      <c r="D69" t="inlineStr">
        <is>
          <t>NULL</t>
        </is>
      </c>
      <c r="E69" t="inlineStr">
        <is>
          <t>NULL</t>
        </is>
      </c>
      <c r="F69" t="inlineStr">
        <is>
          <t>NULL</t>
        </is>
      </c>
      <c r="G69" t="inlineStr">
        <is>
          <t>NULL</t>
        </is>
      </c>
      <c r="H69" t="inlineStr">
        <is>
          <t>NULL</t>
        </is>
      </c>
      <c r="I69" t="inlineStr">
        <is>
          <t>NULL</t>
        </is>
      </c>
      <c r="J69" t="inlineStr">
        <is>
          <t>NULL</t>
        </is>
      </c>
      <c r="K69" t="inlineStr">
        <is>
          <t xml:space="preserve"> NO!  	 login_count列源备映射错误，源端为int None位	期望更改为text	实际备端为int None位</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active列源备映射错误，源端为bit None位	期望更改为text	实际备端为bit None位</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 xml:space="preserve"> NO!  	 remarks列源备映射错误，源端为nvarchar 400位	期望更改为text	实际备端为nvarchar 400位</t>
        </is>
      </c>
    </row>
    <row r="72">
      <c r="K72" t="inlineStr">
        <is>
          <t>~ 空表</t>
        </is>
      </c>
    </row>
    <row r="73">
      <c r="A73" t="inlineStr">
        <is>
          <t>test1</t>
        </is>
      </c>
      <c r="K73" t="inlineStr">
        <is>
          <t>[0;34m test1 [0m源备字段数相同，源端字段：10 	备端字段10</t>
        </is>
      </c>
      <c r="W73" t="inlineStr">
        <is>
          <t>YES 源备无差异</t>
        </is>
      </c>
      <c r="X73">
        <f>A73</f>
        <v/>
      </c>
    </row>
    <row r="74">
      <c r="B74" t="inlineStr">
        <is>
          <t>YES</t>
        </is>
      </c>
      <c r="C74" t="inlineStr">
        <is>
          <t>NULL</t>
        </is>
      </c>
      <c r="D74" t="inlineStr">
        <is>
          <t>NULL</t>
        </is>
      </c>
      <c r="E74" t="inlineStr">
        <is>
          <t>NULL</t>
        </is>
      </c>
      <c r="F74" t="inlineStr">
        <is>
          <t>NULL</t>
        </is>
      </c>
      <c r="G74" t="inlineStr">
        <is>
          <t>NULL</t>
        </is>
      </c>
      <c r="H74" t="inlineStr">
        <is>
          <t>NULL</t>
        </is>
      </c>
      <c r="I74" t="inlineStr">
        <is>
          <t>YES!PK__test1__3213D0807A02DBEB</t>
        </is>
      </c>
      <c r="J74" t="inlineStr">
        <is>
          <t>YES! 主键相关索引</t>
        </is>
      </c>
      <c r="K74" t="inlineStr">
        <is>
          <t xml:space="preserve"> NO!  	 no列源备映射错误，源端为int None位	期望更改为text	实际备端为int None位</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 xml:space="preserve"> NO!  	 c_char列源备映射错误，源端为char 5位	期望更改为text	实际备端为char 5位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 xml:space="preserve"> NO!  	 c_nchar列源备映射错误，源端为nchar 20位	期望更改为text	实际备端为nchar 20位</t>
        </is>
      </c>
    </row>
    <row r="77">
      <c r="B77" t="inlineStr">
        <is>
          <t>NULL</t>
        </is>
      </c>
      <c r="C77" t="inlineStr">
        <is>
          <t>NULL</t>
        </is>
      </c>
      <c r="D77" t="inlineStr">
        <is>
          <t>NULL</t>
        </is>
      </c>
      <c r="E77" t="inlineStr">
        <is>
          <t>NULL</t>
        </is>
      </c>
      <c r="F77" t="inlineStr">
        <is>
          <t>NULL</t>
        </is>
      </c>
      <c r="G77" t="inlineStr">
        <is>
          <t>NULL</t>
        </is>
      </c>
      <c r="H77" t="inlineStr">
        <is>
          <t>NULL</t>
        </is>
      </c>
      <c r="I77" t="inlineStr">
        <is>
          <t>NULL</t>
        </is>
      </c>
      <c r="J77" t="inlineStr">
        <is>
          <t>NULL</t>
        </is>
      </c>
      <c r="K77" t="inlineStr">
        <is>
          <t xml:space="preserve"> NO!  	 c_varchar列源备映射错误，源端为varchar 20位	期望更改为text	实际备端为varchar 20位</t>
        </is>
      </c>
    </row>
    <row r="78">
      <c r="B78" t="inlineStr">
        <is>
          <t>NULL</t>
        </is>
      </c>
      <c r="C78" t="inlineStr">
        <is>
          <t>NULL</t>
        </is>
      </c>
      <c r="D78" t="inlineStr">
        <is>
          <t>NULL</t>
        </is>
      </c>
      <c r="E78" t="inlineStr">
        <is>
          <t>NULL</t>
        </is>
      </c>
      <c r="F78" t="inlineStr">
        <is>
          <t>NULL</t>
        </is>
      </c>
      <c r="G78" t="inlineStr">
        <is>
          <t>NULL</t>
        </is>
      </c>
      <c r="H78" t="inlineStr">
        <is>
          <t>NULL</t>
        </is>
      </c>
      <c r="I78" t="inlineStr">
        <is>
          <t>NULL</t>
        </is>
      </c>
      <c r="J78" t="inlineStr">
        <is>
          <t>NULL</t>
        </is>
      </c>
      <c r="K78" t="inlineStr">
        <is>
          <t xml:space="preserve"> NO!  	 c_nvarchar列源备映射错误，源端为nvarchar 60位	期望更改为text	实际备端为nvarchar 60位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c_decimal列源备映射错误，源端为decimal None位	期望更改为text	实际备端为decimal None位</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c_datetime列源备映射错误，源端为datetime None位	期望更改为text	实际备端为datetime None位</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c_numeric列源备映射错误，源端为numeric None位	期望更改为text	实际备端为numeric None位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 xml:space="preserve"> NO!  	 c_var400列源备映射错误，源端为varchar 200位	期望更改为text	实际备端为varchar 200位</t>
        </is>
      </c>
    </row>
    <row r="83">
      <c r="B83" t="inlineStr">
        <is>
          <t>NULL</t>
        </is>
      </c>
      <c r="C83" t="inlineStr">
        <is>
          <t>NULL</t>
        </is>
      </c>
      <c r="D83" t="inlineStr">
        <is>
          <t>NULL</t>
        </is>
      </c>
      <c r="E83" t="inlineStr">
        <is>
          <t>NULL</t>
        </is>
      </c>
      <c r="F83" t="inlineStr">
        <is>
          <t>NULL</t>
        </is>
      </c>
      <c r="G83" t="inlineStr">
        <is>
          <t>NULL</t>
        </is>
      </c>
      <c r="H83" t="inlineStr">
        <is>
          <t>NULL</t>
        </is>
      </c>
      <c r="I83" t="inlineStr">
        <is>
          <t>NULL</t>
        </is>
      </c>
      <c r="J83" t="inlineStr">
        <is>
          <t>NULL</t>
        </is>
      </c>
      <c r="K83" t="inlineStr">
        <is>
          <t xml:space="preserve"> NO!  	 c_char1列源备映射错误，源端为char 1位	期望更改为text	实际备端为char 1位</t>
        </is>
      </c>
    </row>
    <row r="84">
      <c r="A84" t="inlineStr">
        <is>
          <t>info_char_dml_single_pk_urp</t>
        </is>
      </c>
      <c r="K84" t="inlineStr">
        <is>
          <t>[0;34m info_char_dml_single_pk_urp [0m源备字段数相同，源端字段：4 	备端字段4</t>
        </is>
      </c>
      <c r="W84" s="16">
        <f>HYPERLINK("#2026041610hbase0!Z2","NO 源备存在差异，共2个")</f>
        <v/>
      </c>
      <c r="X84">
        <f>A84</f>
        <v/>
      </c>
    </row>
    <row r="85">
      <c r="B85" t="inlineStr">
        <is>
          <t>YES</t>
        </is>
      </c>
      <c r="C85" t="inlineStr">
        <is>
          <t>NULL</t>
        </is>
      </c>
      <c r="D85" t="inlineStr">
        <is>
          <t>NULL</t>
        </is>
      </c>
      <c r="E85" t="inlineStr">
        <is>
          <t>NULL</t>
        </is>
      </c>
      <c r="F85" t="inlineStr">
        <is>
          <t>NULL</t>
        </is>
      </c>
      <c r="G85" t="inlineStr">
        <is>
          <t>NULL</t>
        </is>
      </c>
      <c r="H85" t="inlineStr">
        <is>
          <t>NULL</t>
        </is>
      </c>
      <c r="I85" t="inlineStr">
        <is>
          <t>YES!PK__info_cha__3213E83F9C0FF70F</t>
        </is>
      </c>
      <c r="J85" t="inlineStr">
        <is>
          <t>YES! 主键相关索引</t>
        </is>
      </c>
      <c r="K85" t="inlineStr">
        <is>
          <t xml:space="preserve"> NO!  	 id列源备映射错误，源端为int None位	期望更改为text	实际备端为int None位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c_char列源备映射错误，源端为char 1位	期望更改为text	实际备端为char 1位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 xml:space="preserve"> NO!  	 c_char20列源备映射错误，源端为char 20位	期望更改为text	实际备端为char 20位</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 xml:space="preserve"> NO!  	 c_char7000列源备映射错误，源端为char 7000位	期望更改为text	实际备端为char 7000位</t>
        </is>
      </c>
    </row>
    <row r="89"/>
  </sheetData>
  <mergeCells count="7">
    <mergeCell ref="A84:A88"/>
    <mergeCell ref="A9:A38"/>
    <mergeCell ref="A57:A59"/>
    <mergeCell ref="A3:A8"/>
    <mergeCell ref="A39:A56"/>
    <mergeCell ref="A73:A83"/>
    <mergeCell ref="A60:A72"/>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2026-04-16T02:54:44Z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2052-12.1.0.25225</vt:lpwstr>
  </property>
  <property name="CalculationRule" fmtid="{D5CDD505-2E9C-101B-9397-08002B2CF9AE}" pid="4">
    <vt:i4>0</vt:i4>
  </property>
</Properties>
</file>